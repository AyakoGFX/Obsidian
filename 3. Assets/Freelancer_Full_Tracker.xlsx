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4"/>
  </sheets>
  <definedNames/>
  <calcPr/>
  <extLst>
    <ext uri="GoogleSheetsCustomDataVersion2">
      <go:sheetsCustomData xmlns:go="http://customooxmlschemas.google.com/" r:id="rId5" roundtripDataChecksum="m8e4BPIkGYtCgdeadrUQ1qanO4nCoSf1EbEKCcnd4lc="/>
    </ext>
  </extLst>
</workbook>
</file>

<file path=xl/sharedStrings.xml><?xml version="1.0" encoding="utf-8"?>
<sst xmlns="http://schemas.openxmlformats.org/spreadsheetml/2006/main" count="38" uniqueCount="36">
  <si>
    <t>FIXED EXPENSES (Monthly)</t>
  </si>
  <si>
    <t>INCOME STREAMS (Monthly)</t>
  </si>
  <si>
    <t>WORK SETTINGS</t>
  </si>
  <si>
    <t>Item</t>
  </si>
  <si>
    <t>Cost</t>
  </si>
  <si>
    <t>Service / Job</t>
  </si>
  <si>
    <t>Rate / Salary</t>
  </si>
  <si>
    <t>Qty / Days</t>
  </si>
  <si>
    <t>Total</t>
  </si>
  <si>
    <t>Hours per Day</t>
  </si>
  <si>
    <t>Rent / Office</t>
  </si>
  <si>
    <t>Main Job (Salary)</t>
  </si>
  <si>
    <t>Days per Month</t>
  </si>
  <si>
    <t>Electricity</t>
  </si>
  <si>
    <t>Video Editing</t>
  </si>
  <si>
    <t>Total Monthly Hours</t>
  </si>
  <si>
    <t>Internet</t>
  </si>
  <si>
    <t>Thumbnail Design</t>
  </si>
  <si>
    <t>Software / AI</t>
  </si>
  <si>
    <t>Consulting</t>
  </si>
  <si>
    <t>FINANCIAL DASHBOARD</t>
  </si>
  <si>
    <t>Phone Bill</t>
  </si>
  <si>
    <t>Other</t>
  </si>
  <si>
    <t>Food</t>
  </si>
  <si>
    <t>TOTAL</t>
  </si>
  <si>
    <t>Monthly Expenses</t>
  </si>
  <si>
    <t>Travel</t>
  </si>
  <si>
    <t>Marketing</t>
  </si>
  <si>
    <t>Yearly Expenses</t>
  </si>
  <si>
    <t>Courses / Learning</t>
  </si>
  <si>
    <t>Monthly Income</t>
  </si>
  <si>
    <t>Yearly Income</t>
  </si>
  <si>
    <t>NET PROFIT (Monthly)</t>
  </si>
  <si>
    <t>YOUR HOURLY RATE</t>
  </si>
  <si>
    <t>hourly rate gross</t>
  </si>
  <si>
    <t>yearly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</si>
</sst>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 #,##0"/>
    <numFmt numFmtId="165" formatCode="₹ #,##0.00"/>
  </numFmts>
  <fonts count="7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readingOrder="0"/>
    </xf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3" fontId="1" numFmtId="0" xfId="0" applyAlignment="1" applyBorder="1" applyFont="1">
      <alignment horizontal="center" vertical="center"/>
    </xf>
    <xf borderId="5" fillId="5" fontId="4" numFmtId="0" xfId="0" applyAlignment="1" applyBorder="1" applyFill="1" applyFont="1">
      <alignment horizontal="center"/>
    </xf>
    <xf borderId="5" fillId="6" fontId="5" numFmtId="164" xfId="0" applyAlignment="1" applyBorder="1" applyFill="1" applyFont="1" applyNumberFormat="1">
      <alignment horizontal="center" vertical="center"/>
    </xf>
    <xf borderId="6" fillId="0" fontId="2" numFmtId="0" xfId="0" applyBorder="1" applyFont="1"/>
    <xf borderId="0" fillId="0" fontId="6" numFmtId="0" xfId="0" applyFont="1"/>
    <xf borderId="4" fillId="2" fontId="1" numFmtId="0" xfId="0" applyAlignment="1" applyBorder="1" applyFont="1">
      <alignment horizontal="center" vertical="center"/>
    </xf>
    <xf borderId="5" fillId="7" fontId="4" numFmtId="0" xfId="0" applyAlignment="1" applyBorder="1" applyFill="1" applyFont="1">
      <alignment horizontal="center"/>
    </xf>
    <xf borderId="5" fillId="8" fontId="5" numFmtId="164" xfId="0" applyAlignment="1" applyBorder="1" applyFill="1" applyFont="1" applyNumberFormat="1">
      <alignment horizontal="center" vertical="center"/>
    </xf>
    <xf borderId="5" fillId="9" fontId="4" numFmtId="0" xfId="0" applyAlignment="1" applyBorder="1" applyFill="1" applyFont="1">
      <alignment horizontal="center"/>
    </xf>
    <xf borderId="5" fillId="10" fontId="5" numFmtId="165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Expense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Tracker!$A$3:$A$12</c:f>
            </c:strRef>
          </c:cat>
          <c:val>
            <c:numRef>
              <c:f>Tracker!$B$3:$B$12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14</xdr:row>
      <xdr:rowOff>114300</xdr:rowOff>
    </xdr:from>
    <xdr:ext cx="3419475" cy="2362200"/>
    <xdr:graphicFrame>
      <xdr:nvGraphicFramePr>
        <xdr:cNvPr id="193419161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2.71"/>
    <col customWidth="1" min="3" max="3" width="2.71"/>
    <col customWidth="1" min="4" max="4" width="20.71"/>
    <col customWidth="1" min="5" max="5" width="12.71"/>
    <col customWidth="1" min="6" max="6" width="8.71"/>
    <col customWidth="1" min="7" max="7" width="12.71"/>
    <col customWidth="1" min="8" max="8" width="2.71"/>
    <col customWidth="1" min="9" max="10" width="20.71"/>
    <col customWidth="1" min="11" max="26" width="8.71"/>
  </cols>
  <sheetData>
    <row r="1">
      <c r="A1" s="1" t="s">
        <v>0</v>
      </c>
      <c r="B1" s="2"/>
      <c r="D1" s="3" t="s">
        <v>1</v>
      </c>
      <c r="E1" s="4"/>
      <c r="F1" s="4"/>
      <c r="G1" s="2"/>
      <c r="I1" s="5" t="s">
        <v>2</v>
      </c>
      <c r="J1" s="2"/>
    </row>
    <row r="2">
      <c r="A2" s="6" t="s">
        <v>3</v>
      </c>
      <c r="B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I2" s="6" t="s">
        <v>9</v>
      </c>
      <c r="J2" s="7">
        <v>17.0</v>
      </c>
    </row>
    <row r="3">
      <c r="A3" s="6" t="s">
        <v>10</v>
      </c>
      <c r="B3" s="8">
        <v>12000.0</v>
      </c>
      <c r="D3" s="6" t="s">
        <v>11</v>
      </c>
      <c r="E3" s="8"/>
      <c r="F3" s="7"/>
      <c r="G3" s="8">
        <v>135000.0</v>
      </c>
      <c r="I3" s="6" t="s">
        <v>12</v>
      </c>
      <c r="J3" s="7">
        <v>30.0</v>
      </c>
    </row>
    <row r="4">
      <c r="A4" s="6" t="s">
        <v>13</v>
      </c>
      <c r="B4" s="8">
        <v>1000.0</v>
      </c>
      <c r="D4" s="6" t="s">
        <v>14</v>
      </c>
      <c r="E4" s="9"/>
      <c r="F4" s="10"/>
      <c r="G4" s="9">
        <f t="shared" ref="G4:G7" si="1">E4*F4</f>
        <v>0</v>
      </c>
      <c r="I4" s="6" t="s">
        <v>15</v>
      </c>
      <c r="J4" s="10">
        <f>J2*J3</f>
        <v>510</v>
      </c>
    </row>
    <row r="5">
      <c r="A5" s="6" t="s">
        <v>16</v>
      </c>
      <c r="B5" s="8">
        <v>600.0</v>
      </c>
      <c r="D5" s="6" t="s">
        <v>17</v>
      </c>
      <c r="E5" s="9"/>
      <c r="F5" s="10">
        <v>5.0</v>
      </c>
      <c r="G5" s="9">
        <f t="shared" si="1"/>
        <v>0</v>
      </c>
    </row>
    <row r="6">
      <c r="A6" s="6" t="s">
        <v>18</v>
      </c>
      <c r="B6" s="9"/>
      <c r="D6" s="6" t="s">
        <v>19</v>
      </c>
      <c r="E6" s="9"/>
      <c r="F6" s="10">
        <v>0.0</v>
      </c>
      <c r="G6" s="9">
        <f t="shared" si="1"/>
        <v>0</v>
      </c>
      <c r="I6" s="5" t="s">
        <v>20</v>
      </c>
      <c r="J6" s="2"/>
    </row>
    <row r="7">
      <c r="A7" s="6" t="s">
        <v>21</v>
      </c>
      <c r="B7" s="9"/>
      <c r="D7" s="6" t="s">
        <v>22</v>
      </c>
      <c r="E7" s="9"/>
      <c r="F7" s="10">
        <v>0.0</v>
      </c>
      <c r="G7" s="9">
        <f t="shared" si="1"/>
        <v>0</v>
      </c>
    </row>
    <row r="8">
      <c r="A8" s="6" t="s">
        <v>23</v>
      </c>
      <c r="B8" s="8">
        <v>8000.0</v>
      </c>
      <c r="D8" s="11" t="s">
        <v>24</v>
      </c>
      <c r="E8" s="11"/>
      <c r="F8" s="11"/>
      <c r="G8" s="9">
        <f>SUM(G3:G7)</f>
        <v>135000</v>
      </c>
      <c r="I8" s="12" t="s">
        <v>25</v>
      </c>
      <c r="J8" s="13">
        <f>B13</f>
        <v>23800</v>
      </c>
    </row>
    <row r="9">
      <c r="A9" s="6" t="s">
        <v>26</v>
      </c>
      <c r="B9" s="8">
        <v>2000.0</v>
      </c>
      <c r="I9" s="14"/>
      <c r="J9" s="14"/>
    </row>
    <row r="10">
      <c r="A10" s="6" t="s">
        <v>27</v>
      </c>
      <c r="B10" s="9"/>
      <c r="I10" s="12" t="s">
        <v>28</v>
      </c>
      <c r="J10" s="13">
        <f>B13*12</f>
        <v>285600</v>
      </c>
    </row>
    <row r="11">
      <c r="A11" s="6" t="s">
        <v>29</v>
      </c>
      <c r="B11" s="8">
        <v>200.0</v>
      </c>
      <c r="I11" s="14"/>
      <c r="J11" s="14"/>
      <c r="L11" s="15">
        <f>20+220</f>
        <v>240</v>
      </c>
    </row>
    <row r="12">
      <c r="A12" s="6" t="s">
        <v>22</v>
      </c>
      <c r="B12" s="9"/>
    </row>
    <row r="13">
      <c r="A13" s="16" t="s">
        <v>24</v>
      </c>
      <c r="B13" s="9">
        <f>SUM(B3:B12)</f>
        <v>23800</v>
      </c>
      <c r="I13" s="17" t="s">
        <v>30</v>
      </c>
      <c r="J13" s="18">
        <f>G8</f>
        <v>135000</v>
      </c>
    </row>
    <row r="14">
      <c r="I14" s="14"/>
      <c r="J14" s="14"/>
    </row>
    <row r="15">
      <c r="I15" s="17" t="s">
        <v>31</v>
      </c>
      <c r="J15" s="18">
        <f>G8*12</f>
        <v>1620000</v>
      </c>
    </row>
    <row r="16">
      <c r="I16" s="14"/>
      <c r="J16" s="14"/>
    </row>
    <row r="18">
      <c r="I18" s="19" t="s">
        <v>32</v>
      </c>
      <c r="J18" s="20">
        <f>G8-B13</f>
        <v>111200</v>
      </c>
    </row>
    <row r="19">
      <c r="I19" s="14"/>
      <c r="J19" s="14"/>
    </row>
    <row r="20">
      <c r="I20" s="19" t="s">
        <v>33</v>
      </c>
      <c r="J20" s="20">
        <f>(G8-B13)/J4</f>
        <v>218.0392157</v>
      </c>
    </row>
    <row r="21" ht="15.75" customHeight="1">
      <c r="I21" s="14"/>
      <c r="J21" s="14"/>
    </row>
    <row r="22" ht="15.75" customHeight="1"/>
    <row r="23" ht="15.75" customHeight="1">
      <c r="I23" s="21" t="s">
        <v>34</v>
      </c>
      <c r="J23" s="15">
        <f>G8/J4</f>
        <v>264.7058824</v>
      </c>
    </row>
    <row r="24" ht="15.75" customHeight="1">
      <c r="I24" s="21" t="s">
        <v>35</v>
      </c>
      <c r="J24" s="22">
        <f>J15-J10</f>
        <v>1334400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B1"/>
    <mergeCell ref="D1:G1"/>
    <mergeCell ref="I1:J1"/>
    <mergeCell ref="I6:J6"/>
    <mergeCell ref="I8:I9"/>
    <mergeCell ref="J8:J9"/>
    <mergeCell ref="J10:J11"/>
    <mergeCell ref="I20:I21"/>
    <mergeCell ref="J20:J21"/>
    <mergeCell ref="I10:I11"/>
    <mergeCell ref="I13:I14"/>
    <mergeCell ref="J13:J14"/>
    <mergeCell ref="I15:I16"/>
    <mergeCell ref="J15:J16"/>
    <mergeCell ref="I18:I19"/>
    <mergeCell ref="J18:J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2025-12-26T15:16:10Z</dcterms:created>
</cp:coreProperties>
</file>